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66925"/>
  <mc:AlternateContent xmlns:mc="http://schemas.openxmlformats.org/markup-compatibility/2006">
    <mc:Choice Requires="x15">
      <x15ac:absPath xmlns:x15ac="http://schemas.microsoft.com/office/spreadsheetml/2010/11/ac" url="C:\Users\omarj\OneDrive\Desktop\CL7s-SMR-claro\"/>
    </mc:Choice>
  </mc:AlternateContent>
  <xr:revisionPtr revIDLastSave="0" documentId="13_ncr:1_{25AB0BF7-3EAF-41CF-AC30-BAF1DEC41C8D}" xr6:coauthVersionLast="47" xr6:coauthVersionMax="47" xr10:uidLastSave="{00000000-0000-0000-0000-000000000000}"/>
  <bookViews>
    <workbookView xWindow="-120" yWindow="-120" windowWidth="29040" windowHeight="15720" activeTab="1" xr2:uid="{00000000-000D-0000-FFFF-FFFF00000000}"/>
  </bookViews>
  <sheets>
    <sheet name="History " sheetId="2" r:id="rId1"/>
    <sheet name="FOTA" sheetId="1" r:id="rId2"/>
  </sheets>
  <calcPr calcId="191029" calcOnSave="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 i="1" l="1"/>
  <c r="H6" i="1"/>
  <c r="H4" i="1"/>
  <c r="H3" i="1"/>
</calcChain>
</file>

<file path=xl/sharedStrings.xml><?xml version="1.0" encoding="utf-8"?>
<sst xmlns="http://schemas.openxmlformats.org/spreadsheetml/2006/main" count="252" uniqueCount="178">
  <si>
    <t xml:space="preserve">Model </t>
  </si>
  <si>
    <t xml:space="preserve">Title </t>
  </si>
  <si>
    <t xml:space="preserve">Remark </t>
  </si>
  <si>
    <t xml:space="preserve">Result </t>
  </si>
  <si>
    <t>Pend</t>
  </si>
  <si>
    <t>Tester name</t>
  </si>
  <si>
    <t>#</t>
  </si>
  <si>
    <t xml:space="preserve">Expected </t>
  </si>
  <si>
    <t xml:space="preserve">SW Version </t>
  </si>
  <si>
    <t xml:space="preserve">1.SW version name should be same </t>
  </si>
  <si>
    <t xml:space="preserve">Description </t>
  </si>
  <si>
    <t xml:space="preserve">Network name </t>
  </si>
  <si>
    <t>1. Network name is correct (SPN)</t>
  </si>
  <si>
    <t xml:space="preserve">Call </t>
  </si>
  <si>
    <t xml:space="preserve">Voice mail </t>
  </si>
  <si>
    <t>Emergency call</t>
  </si>
  <si>
    <t xml:space="preserve">Precondition: Leave Voice mail
1.Check the voice mail box using the shortcut key 1
2. Check by dialing direct the voice number 
3. Check from last calls 
4. Check home Voicemail number in IU
5. Check that the Voice mail icon is shown  
</t>
  </si>
  <si>
    <t xml:space="preserve">1. All required emergency numbers are accessible, displayed and connect to correct service
2. Phone default language is correct </t>
  </si>
  <si>
    <t>MMS</t>
  </si>
  <si>
    <t xml:space="preserve">1.Send / Receive MMS to DUT (Yourself) and other handset 
*Add 1 image 
*Add 1 sound 
*Add 1 video
*Add some test
*Use several slides </t>
  </si>
  <si>
    <t xml:space="preserve">1. MMS messaged are correctly sent / received (all contents are correct, not missed) </t>
  </si>
  <si>
    <t>SMS</t>
  </si>
  <si>
    <t>1. Create new SMS and while edditing text check::
a) Your langauge characters order using input methods  ('abc',   'Abc', 'ABC', "123") 
b) Your langauage specific characters 
c) Character counter when inserting special characters
d) All typing methods.
2. Send SMS including your langauge special characters to DUT (yourself) and other recipient</t>
  </si>
  <si>
    <t>1. a) Your langauge character sentence is correct  
b) Your langague all specific characters are available
c) Character counter shows correct value
2. SMS is sent/received and special characters are displayed as expected</t>
  </si>
  <si>
    <t xml:space="preserve">Browser </t>
  </si>
  <si>
    <t xml:space="preserve">1.Connect to required Homepage 
2. Check that browser connects to default bookmarks </t>
  </si>
  <si>
    <t>1. Brower connects to homepage, browse, download and store content on DUT
2.Browser connects and reach all requested bookmarks</t>
  </si>
  <si>
    <t xml:space="preserve">SIM </t>
  </si>
  <si>
    <t>Precondition: Insert Valid SIM card 
1. Check the name of the STK icon
2. Verify it´s possible to access to each option inside STK</t>
  </si>
  <si>
    <t>1. DUT must be able to show the STK SIM card name as the STK icon label
2. DUT must be able to handle as required each and every option and app located into STK menu</t>
  </si>
  <si>
    <t xml:space="preserve">FOTA </t>
  </si>
  <si>
    <t xml:space="preserve">1.Power ON the DUT 
2. Check your local language 
3. Check FOTA popup is displayed </t>
  </si>
  <si>
    <t xml:space="preserve">1. FOTA pop up is displayed correctly </t>
  </si>
  <si>
    <t>Radio FM</t>
  </si>
  <si>
    <t xml:space="preserve">Access Radio FM and check for FM play for all available stations 
1. Check for the FM auto scanning </t>
  </si>
  <si>
    <t xml:space="preserve">1. Radio FM screen should be displayed and all available stations should be scanned/ played </t>
  </si>
  <si>
    <t xml:space="preserve">Idle </t>
  </si>
  <si>
    <t>Idle Display situation 
1. Indicator Bar 
2. RSSI Bar
3.Wallpaper
4. Time and Date
5. Baterry icon 
6. Backlight time 
7. Lockscreen</t>
  </si>
  <si>
    <t xml:space="preserve">1. Check all item works properly
</t>
  </si>
  <si>
    <t>Menu Tree</t>
  </si>
  <si>
    <t xml:space="preserve">Menu tree check 
1. Enter each menu item one by one 
2. Go back to idle screen after entering each application </t>
  </si>
  <si>
    <t>Power ON/OFF</t>
  </si>
  <si>
    <t>Power ON/OFF check
1. Power ON/OFF DUT 
2. Check Power ON/OFF scenario (animations, texts, etc.)</t>
  </si>
  <si>
    <t xml:space="preserve">Scenario should be correctly applied. Animations must not be broken or low quality </t>
  </si>
  <si>
    <t>1. Make MO call
2. Make MO Video call
3. Make MO International call
4. Make MT call
5. Make MT Video call
6. Make Missed call
7. Make Missed video
8. Go to Call history</t>
  </si>
  <si>
    <t xml:space="preserve">1. All menu should be presented correctly
2. Categories and icons should match: All, Incoming, etc.
3. Time and date for each call should be correct </t>
  </si>
  <si>
    <t>Multiparty Call</t>
  </si>
  <si>
    <t xml:space="preserve">MO Call during call situation
1. Start  MO call
2. During the first call, start a new MO Call to other Phone
3. Start a new MO call (third call) 
4. Check the Third Call state </t>
  </si>
  <si>
    <t>1. Check the Third Call working well
2. Check Swap &amp; Call transfer functionality
3. Check the Call Option (Contact, Message,SIM, Memo)</t>
  </si>
  <si>
    <t xml:space="preserve">MT Call during call situation
1.  Start MO call
2. During the first Call, receive MT Call
3. Join both calls and receive a new MT call 
4. Check the Third Call state </t>
  </si>
  <si>
    <t>Email</t>
  </si>
  <si>
    <t>All Email must be received, sent and/or displayed correctly</t>
  </si>
  <si>
    <t>Wi-Fi connection
Wi-Fi profile must be selected prior to test.
1. Search WLAN networks with handset
2. Select one WLAN network and connect to it
3. Disconnect WLAN network and re-connect to it</t>
  </si>
  <si>
    <t>1. Handset must find and display all available WLAN networks
2. Handset must connect successfully to WLAN network</t>
  </si>
  <si>
    <t xml:space="preserve">WIFI </t>
  </si>
  <si>
    <t xml:space="preserve">WIFI Streaming </t>
  </si>
  <si>
    <t>Streaming
1.Open Youtube app and play any video during 1 minute
2. Open Browser go to "www.wwe.com"</t>
  </si>
  <si>
    <t>Video and web page shoul be played correctly and should not be wrong behavior</t>
  </si>
  <si>
    <t>Bluetooth</t>
  </si>
  <si>
    <t>1. Enable Bluetooth
2. Search devices
3. Check  all found devices
4. Compare with reference search result</t>
  </si>
  <si>
    <t>1. Search result must match with reference phone</t>
  </si>
  <si>
    <t>1. Enable the Bluetooth
2. SEND &amp; RECEIVE Image, Sound, Bussiness Card, MP3, Contacts to Other Device
3. Check the transfer is working well</t>
  </si>
  <si>
    <t>1. Check  Bluetooth File sending
2. Check receive File in the other handset</t>
  </si>
  <si>
    <t>Alarm</t>
  </si>
  <si>
    <t>Alarm action situation
1. Set Alarm Time
2. Set Alarm with all kind of repetition set (Once, Daily, Mon-Fri, Mon-Sat, Sat-Sun)</t>
  </si>
  <si>
    <t>1. On Time Check the Alarm
2. Test all snooze intervals</t>
  </si>
  <si>
    <t>Calculator</t>
  </si>
  <si>
    <t>1. Check Fuction Result and Language
2 Check Division by Zero is not possible</t>
  </si>
  <si>
    <t>Calculator movement situation
1. Check all operations available.</t>
  </si>
  <si>
    <t>Camera</t>
  </si>
  <si>
    <t>Check  camera option change 
1. Start  Camera
2. Change all Camera options
3. Take a picture</t>
  </si>
  <si>
    <t>1. Check if all changed Camera Options are working well and language is correct</t>
  </si>
  <si>
    <t>MP3</t>
  </si>
  <si>
    <t>Check  Mp3 option change
1. Play MP3
2. Change all MP3 options
3. Check  MP3 playing</t>
  </si>
  <si>
    <t>1. Check if all changed  MP3 Options are working well</t>
  </si>
  <si>
    <t>Ear - Mic</t>
  </si>
  <si>
    <t>1. Check Volume Changes accordingly</t>
  </si>
  <si>
    <t>External memory</t>
  </si>
  <si>
    <t>1. Check the memory is working and default folders are created on external memory
2. Check memory was erased correctly
3. Check the files are not corrupted when read from handset and PC</t>
  </si>
  <si>
    <t xml:space="preserve">1. Pug in Ear-mic
2. Establish a call
3. Change Volume Up and Down during the call
4. Play music </t>
  </si>
  <si>
    <t>1. Insert External memory 
2. Move, copy and erase files from internal to external memory</t>
  </si>
  <si>
    <t>1. DUT shouldn't change any customization of user
2. DUT keeps all customization that was before updating the SW</t>
  </si>
  <si>
    <t>FOTA  SW version</t>
  </si>
  <si>
    <t>1. Check SW Version name in UI
2. Check SW Version name in engineering menu</t>
  </si>
  <si>
    <t xml:space="preserve">FOTA wordings 
1.Check all wordings appears in FOTA process </t>
  </si>
  <si>
    <t>1. Wordings must be in spanish and not chopped</t>
  </si>
  <si>
    <t xml:space="preserve">FOTA popup </t>
  </si>
  <si>
    <t xml:space="preserve">FOTA wordings </t>
  </si>
  <si>
    <t xml:space="preserve">FOTA low battery </t>
  </si>
  <si>
    <t>1. You can not perfom the FOTA
2. Charge the DUT more that 30 %</t>
  </si>
  <si>
    <t>Change History</t>
  </si>
  <si>
    <t>Date</t>
  </si>
  <si>
    <t>Description</t>
  </si>
  <si>
    <t>Vesion</t>
  </si>
  <si>
    <t>Modified by</t>
  </si>
  <si>
    <t>First Draft for Security Patch FOTA Testcase</t>
  </si>
  <si>
    <t>V1.0</t>
  </si>
  <si>
    <t xml:space="preserve">Rafael Gutiérrez </t>
  </si>
  <si>
    <t>Precondition: With the previous official sw
1. Try to update FOTA with low battery
2. Check all wordings appears</t>
  </si>
  <si>
    <t xml:space="preserve">Precondition: With the previous official sw
Customize the phone to your preference
1.Change Wallpaper
2.Move Homescreen icons 
3. Change ringtone 
4.Install top 10 apps that are in the Play Store 
5. Update SW to new SW version 
</t>
  </si>
  <si>
    <t>Pass</t>
  </si>
  <si>
    <t>Fail</t>
  </si>
  <si>
    <t>NA</t>
  </si>
  <si>
    <t>OK/NG</t>
  </si>
  <si>
    <t>Test Result</t>
  </si>
  <si>
    <t xml:space="preserve">Fail </t>
  </si>
  <si>
    <t>1. Setup Email account in the DUT(Exchange, Google, Yahoo, Hotmail).
2. Send Multimedia supported format to other email
3. Synchronize Contacts, Tasks and Calendar
4. Send supported office files (DOC, XLS, PPT, etc)</t>
  </si>
  <si>
    <t>FOTA Automatically</t>
  </si>
  <si>
    <t xml:space="preserve">Add information date of SP and FOTA automatically test </t>
  </si>
  <si>
    <t>V1.1</t>
  </si>
  <si>
    <t>SP Date</t>
  </si>
  <si>
    <t xml:space="preserve">Precondition: With the previous official sw
1. Try to update FOTA with data network 
</t>
  </si>
  <si>
    <t>1.DUT does not allow downloading the update package vía data network automatically
2. DUT only allow downloading the update pachage via WI-Fi automatically</t>
  </si>
  <si>
    <t xml:space="preserve">Date </t>
  </si>
  <si>
    <t>Previous SP tested</t>
  </si>
  <si>
    <t xml:space="preserve"> SP tested </t>
  </si>
  <si>
    <t xml:space="preserve">1.- Create a new contact in:
1.1.- Google account 
1.2.-Phone storage
1.3.-SIM card </t>
  </si>
  <si>
    <t>V1.2</t>
  </si>
  <si>
    <t>Pictures SP / Save contact in google account</t>
  </si>
  <si>
    <t xml:space="preserve">Save contact </t>
  </si>
  <si>
    <t xml:space="preserve">Test for VoLTE and VoWIFI </t>
  </si>
  <si>
    <t>V1.3</t>
  </si>
  <si>
    <t>VoLTE</t>
  </si>
  <si>
    <t>1. Power on the DUT
2. Check for VoLTE connected icon</t>
  </si>
  <si>
    <t>1. Action 
2. Check that VoLTE Icon is shown on the status bar</t>
  </si>
  <si>
    <t>1. Check that VoLTE Icon is shown on the phone
2. Turn On Flight mode
3. Turn Off Flight mode</t>
  </si>
  <si>
    <t>1. Action
2. VoLTE Icon should Disappear
3.VoLTE Icon should Appear</t>
  </si>
  <si>
    <t xml:space="preserve">VoLTE
Prepare other (Phone B): 
   -VoLTE Phone; 
   -Landline Phone;
   -Non VoLTE Phonel.
                                       </t>
  </si>
  <si>
    <t>1. Make a MO call from "Phone A"
2. Ringing "Phone B"
4. Press "accept" to receive a call on Phone B
5. Check call connection status
6. Check Voice Quality.
6-1. Check Voice Quality with speaker on
7.-Check VoLTE call label "Llamada VoLTE"
Perform next calls:
-VoLTE to VoLTE
-VoLTE to Land line (PSTN)
-VoLTE to Non VoLTE(4G/3G/2G)</t>
  </si>
  <si>
    <t>1. Should be able to make a MO call.
2. Should be able to hear ringback tone correctly
3. Should be able to hear call connection tone correctly
4~6. 
- Normal call volume / quality should be normal.
- Spk phone volume / quality should be normal.
- Additional noises should not be occurred.
- Echo sounds should not be occurred.
- TDMA noise should not be occurred.
- DUT should be remained in LTE network acquisition</t>
  </si>
  <si>
    <t xml:space="preserve">VoLTE
Emergency call </t>
  </si>
  <si>
    <t>1. Check that VoLTE Icon is shown on the phone
2. Make a emergency call
    (press 911,112)</t>
  </si>
  <si>
    <t>1. Connecting Emergency call is success
(VoLTE call or CSFB to 3G according to operator spec)
Remark:TELCEL spec .-current behavior "CSFB to 3G"</t>
  </si>
  <si>
    <t>1. Make VoLTE call from A to B
2. Add VoLTE call from A to C
3. Merge calls
    (DUT A is Admin from conference call)
4. Try Split the calls</t>
  </si>
  <si>
    <t>3. Conference call should be established successfully
4. Split should be work successfully</t>
  </si>
  <si>
    <t>1. Make VoLTE call from A to B
2. Add VoLTE call from A to C
3. Merge calls
    (DUT A is Admin from conference call)
4. B end the call</t>
  </si>
  <si>
    <t>3. Conference call should be established successfully
4. A and C should be back on normal call</t>
  </si>
  <si>
    <t xml:space="preserve">ViLTE </t>
  </si>
  <si>
    <r>
      <t xml:space="preserve">1. Make ViLTE call from A to B
2. B answer call, sets volume to max-1
3. Evaluate speech loudness (very loud, normal, low)
4. Evaulate speech quality (very good, normal, bad)
5. Evaluate speech color (muffled, normal, sharp)
6. Check that unwanted noises appear
7. Evaluate </t>
    </r>
    <r>
      <rPr>
        <b/>
        <sz val="10"/>
        <color indexed="8"/>
        <rFont val="Arial"/>
        <family val="2"/>
      </rPr>
      <t>video</t>
    </r>
    <r>
      <rPr>
        <sz val="10"/>
        <color indexed="8"/>
        <rFont val="Arial"/>
        <family val="2"/>
      </rPr>
      <t xml:space="preserve"> quality (good, normal, bad)</t>
    </r>
  </si>
  <si>
    <r>
      <t>1. On A and B check whether ViLTE call in connected normally.
3. On A and B normal Loudness
4. On A and B normal or very good quality
5. On A and B normal speech color
6. On A and B no additional noises
7. On A and B normal video</t>
    </r>
    <r>
      <rPr>
        <sz val="10"/>
        <color indexed="8"/>
        <rFont val="Arial"/>
        <family val="2"/>
      </rPr>
      <t xml:space="preserve"> quality</t>
    </r>
  </si>
  <si>
    <t>VoLTE
SMS/MMS/Email</t>
  </si>
  <si>
    <t xml:space="preserve">1. Send and Receive a SMS/MMS/Email from A to B
</t>
  </si>
  <si>
    <t>1. SMS/MMS/Email should be sent and received successfully</t>
  </si>
  <si>
    <t>VoWIFI</t>
  </si>
  <si>
    <t>1.Turn off and Turn on device</t>
  </si>
  <si>
    <t>1.DUT register to VoWiFi network (check VoWiFi registration notification icon according to operator spec)</t>
  </si>
  <si>
    <t>1. Turn on Airplane mode
2. Enable WiFi on DUT
3. Observe registration icon</t>
  </si>
  <si>
    <t>1. IMS registration should be done
(Depends on requirement)</t>
  </si>
  <si>
    <t>1.Press phone number on phone A
2.Press "SEND" to make a MO call though VoWiFi
3. Accept the call on Phone B
4. Check call connection status
5. Check Voice Quality</t>
  </si>
  <si>
    <t>1~4. Action
5. Normal call volume / quality should be normal.
- Spk phone volume / quality should be normal.
- Additional noises should not be occurred.
- Echo sounds should not be occurred.
- TDMA noise should not be occurred 
- Delay on voice messages should not be occurred.</t>
  </si>
  <si>
    <t>1.A make a emergency call
  (press 911,112)</t>
  </si>
  <si>
    <t>1. Connecting Emergency call is success
(VoWiFi call or CSFB to 3G according to operator spec)
Remark:TELCEL spec .-current behavior "CSFB to 3G"</t>
  </si>
  <si>
    <t>V1.4</t>
  </si>
  <si>
    <t xml:space="preserve">Tests for AT&amp;T added </t>
  </si>
  <si>
    <t>1.SW version name should be same 
2. The version number must have +1 of previous version</t>
  </si>
  <si>
    <t>1. The contact is created successfully
DUT can create, delete, copy and share the contact</t>
  </si>
  <si>
    <t>Test Case for FOTA Claro Handsets</t>
  </si>
  <si>
    <t>Precondtion :
Flash the DUT with proper SW
Testcase
1. Do factory reset before starting test
2. Compare "SW version name in the IU" with "SW version in  test plan and Internal code</t>
  </si>
  <si>
    <t>Customization</t>
  </si>
  <si>
    <t>SYSDLL</t>
  </si>
  <si>
    <t>SW Internal version</t>
  </si>
  <si>
    <t>SW external version</t>
  </si>
  <si>
    <t>1.DUT should connect to the voice mail and display correctly voicemail number</t>
  </si>
  <si>
    <t>1. Check Network name is correctly displayed for all operators</t>
  </si>
  <si>
    <t xml:space="preserve">Precondition: No SIM card inserted
1.Perform emergency call (911, 112, 123)
Remark: When testing emergency call, please take care to hang up immediately 
</t>
  </si>
  <si>
    <t xml:space="preserve">Precondition:SIM card inserted
1.Perform emergency call (911, 112, 123)
Remark: When testing emergency call, please take care to hang up immediately 
</t>
  </si>
  <si>
    <t xml:space="preserve">Scenario should be correctly applied. Animations mus not be broken or low quality
No bad translation must be found </t>
  </si>
  <si>
    <t>1. Check AMX preloaded app version.</t>
  </si>
  <si>
    <t>1. DUT must have preloaded the apps version of the AVISO implemented in the TA version
2. AVISO version will be provided separatly</t>
  </si>
  <si>
    <t>1. Using adb tool verify SYSDLL app is preloaded correctly and have the same version as the TA SW version.</t>
  </si>
  <si>
    <t>1. DUT must have preloaded SYSDLL app version of the AVISO implemeneted in the TA version.
2. ADB tool will be provided separatly</t>
  </si>
  <si>
    <t>Omar sanchez</t>
  </si>
  <si>
    <t>Network</t>
  </si>
  <si>
    <t>buttom 2G</t>
  </si>
  <si>
    <t>CL7s</t>
  </si>
  <si>
    <t>CL7SP765A-200</t>
  </si>
  <si>
    <t>1 de enero de 2026</t>
  </si>
  <si>
    <t>CL7s-P765AH-U-COCL-251218V2947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</si>
</sst>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26">
    <font>
      <sz val="11"/>
      <color theme="1"/>
      <name val="Calibri"/>
      <family val="2"/>
      <scheme val="minor"/>
    </font>
    <font>
      <b/>
      <sz val="11"/>
      <color theme="1"/>
      <name val="Calibri"/>
      <family val="2"/>
      <scheme val="minor"/>
    </font>
    <font>
      <b/>
      <sz val="24"/>
      <color theme="0" tint="-4.9989318521683403E-2"/>
      <name val="Arial"/>
      <family val="2"/>
    </font>
    <font>
      <sz val="14"/>
      <name val="Arial"/>
      <family val="2"/>
    </font>
    <font>
      <sz val="11"/>
      <color theme="1"/>
      <name val="Arial"/>
      <family val="2"/>
    </font>
    <font>
      <b/>
      <sz val="11"/>
      <color theme="1"/>
      <name val="Arial"/>
      <family val="2"/>
    </font>
    <font>
      <sz val="11"/>
      <color theme="1"/>
      <name val="Calibri"/>
      <family val="2"/>
      <scheme val="minor"/>
    </font>
    <font>
      <sz val="11"/>
      <color theme="0"/>
      <name val="Calibri"/>
      <family val="2"/>
      <scheme val="minor"/>
    </font>
    <font>
      <sz val="10"/>
      <name val="Arial"/>
      <family val="2"/>
    </font>
    <font>
      <sz val="10"/>
      <color theme="1"/>
      <name val="Arial"/>
      <family val="2"/>
    </font>
    <font>
      <sz val="11"/>
      <color theme="1"/>
      <name val="Calibri"/>
      <family val="2"/>
      <charset val="129"/>
      <scheme val="minor"/>
    </font>
    <font>
      <sz val="11"/>
      <name val="돋움"/>
      <family val="3"/>
      <charset val="129"/>
    </font>
    <font>
      <sz val="10"/>
      <name val="돋움"/>
      <family val="3"/>
      <charset val="129"/>
    </font>
    <font>
      <sz val="12"/>
      <name val="新細明體"/>
      <family val="1"/>
      <charset val="136"/>
    </font>
    <font>
      <b/>
      <u/>
      <sz val="10"/>
      <name val="Arial"/>
      <family val="2"/>
    </font>
    <font>
      <sz val="10"/>
      <name val="맑은 고딕"/>
      <family val="3"/>
      <charset val="129"/>
    </font>
    <font>
      <u/>
      <sz val="10"/>
      <color indexed="12"/>
      <name val="Arial"/>
      <family val="2"/>
    </font>
    <font>
      <sz val="10"/>
      <name val="Times New Roman"/>
      <family val="1"/>
    </font>
    <font>
      <sz val="12"/>
      <name val="Times New Roman"/>
      <family val="1"/>
    </font>
    <font>
      <sz val="11"/>
      <color theme="1"/>
      <name val="Calibri"/>
      <family val="3"/>
      <charset val="129"/>
      <scheme val="minor"/>
    </font>
    <font>
      <sz val="11"/>
      <name val="Calibri"/>
      <family val="2"/>
      <scheme val="minor"/>
    </font>
    <font>
      <b/>
      <sz val="16"/>
      <color theme="0"/>
      <name val="Arial"/>
      <family val="2"/>
    </font>
    <font>
      <b/>
      <u/>
      <sz val="20"/>
      <name val="Arial"/>
      <family val="2"/>
    </font>
    <font>
      <b/>
      <sz val="16"/>
      <color indexed="9"/>
      <name val="Calibri"/>
      <family val="3"/>
      <charset val="129"/>
      <scheme val="minor"/>
    </font>
    <font>
      <b/>
      <sz val="10"/>
      <color indexed="8"/>
      <name val="Arial"/>
      <family val="2"/>
    </font>
    <font>
      <sz val="10"/>
      <color indexed="8"/>
      <name val="Arial"/>
      <family val="2"/>
    </font>
  </fonts>
  <fills count="8">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theme="4" tint="0.59999389629810485"/>
        <bgColor indexed="65"/>
      </patternFill>
    </fill>
    <fill>
      <patternFill patternType="solid">
        <fgColor indexed="9"/>
        <bgColor indexed="64"/>
      </patternFill>
    </fill>
    <fill>
      <patternFill patternType="solid">
        <fgColor theme="2" tint="-0.499984740745262"/>
        <bgColor indexed="64"/>
      </patternFill>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36">
    <xf numFmtId="0" fontId="0" fillId="0" borderId="0"/>
    <xf numFmtId="0" fontId="11" fillId="0" borderId="0" applyBorder="0"/>
    <xf numFmtId="0" fontId="6"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4" borderId="0" applyNumberFormat="0" applyBorder="0" applyAlignment="0" applyProtection="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3" fillId="0" borderId="0"/>
    <xf numFmtId="0" fontId="12" fillId="0" borderId="0"/>
    <xf numFmtId="0" fontId="8" fillId="0" borderId="0"/>
    <xf numFmtId="0" fontId="8" fillId="0" borderId="0"/>
    <xf numFmtId="0" fontId="16" fillId="0" borderId="0" applyNumberFormat="0" applyFill="0" applyBorder="0" applyAlignment="0" applyProtection="0">
      <alignment vertical="top"/>
      <protection locked="0"/>
    </xf>
    <xf numFmtId="0" fontId="17" fillId="0" borderId="0"/>
    <xf numFmtId="0" fontId="8" fillId="0" borderId="0"/>
    <xf numFmtId="0" fontId="8" fillId="0" borderId="0" applyBorder="0"/>
    <xf numFmtId="0" fontId="18" fillId="0" borderId="0" applyBorder="0"/>
    <xf numFmtId="0" fontId="19" fillId="0" borderId="0"/>
    <xf numFmtId="0" fontId="11" fillId="0" borderId="0">
      <alignment vertical="center"/>
    </xf>
    <xf numFmtId="0" fontId="16" fillId="0" borderId="0" applyNumberFormat="0" applyFill="0" applyBorder="0" applyAlignment="0" applyProtection="0">
      <alignment vertical="top"/>
      <protection locked="0"/>
    </xf>
    <xf numFmtId="0" fontId="11" fillId="0" borderId="0"/>
    <xf numFmtId="0" fontId="11" fillId="0" borderId="0"/>
  </cellStyleXfs>
  <cellXfs count="47">
    <xf numFmtId="0" fontId="0" fillId="0" borderId="0" xfId="0"/>
    <xf numFmtId="0" fontId="0" fillId="2" borderId="0" xfId="0" applyFill="1"/>
    <xf numFmtId="0" fontId="0" fillId="2" borderId="0" xfId="0" applyFill="1" applyAlignment="1">
      <alignment horizontal="center" vertical="center"/>
    </xf>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9"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0" fillId="2" borderId="0" xfId="0" applyFill="1" applyAlignment="1">
      <alignment horizontal="center"/>
    </xf>
    <xf numFmtId="0" fontId="21" fillId="3" borderId="5" xfId="24" applyFont="1" applyFill="1" applyBorder="1" applyAlignment="1">
      <alignment horizontal="center" vertical="center"/>
    </xf>
    <xf numFmtId="49" fontId="21" fillId="3" borderId="5" xfId="24" applyNumberFormat="1" applyFont="1" applyFill="1" applyBorder="1" applyAlignment="1">
      <alignment horizontal="center" vertical="center"/>
    </xf>
    <xf numFmtId="0" fontId="21" fillId="3" borderId="5" xfId="24" applyFont="1" applyFill="1" applyBorder="1" applyAlignment="1">
      <alignment horizontal="center" vertical="center" wrapText="1"/>
    </xf>
    <xf numFmtId="0" fontId="21" fillId="3" borderId="2" xfId="24" applyFont="1" applyFill="1" applyBorder="1" applyAlignment="1">
      <alignment horizontal="center" vertical="center"/>
    </xf>
    <xf numFmtId="0" fontId="14" fillId="5" borderId="0" xfId="23" applyFont="1" applyFill="1" applyAlignment="1">
      <alignment horizontal="center" vertical="center"/>
    </xf>
    <xf numFmtId="14" fontId="15" fillId="0" borderId="1" xfId="24" applyNumberFormat="1" applyFont="1" applyBorder="1" applyAlignment="1">
      <alignment horizontal="center" vertical="center"/>
    </xf>
    <xf numFmtId="0" fontId="15" fillId="0" borderId="3" xfId="24" applyFont="1" applyBorder="1" applyAlignment="1">
      <alignment horizontal="center" vertical="center"/>
    </xf>
    <xf numFmtId="0" fontId="15" fillId="0" borderId="4" xfId="24" applyFont="1" applyBorder="1" applyAlignment="1">
      <alignment horizontal="center" vertical="center"/>
    </xf>
    <xf numFmtId="0" fontId="15" fillId="0" borderId="6" xfId="24" applyFont="1" applyBorder="1" applyAlignment="1">
      <alignment horizontal="center" vertical="center"/>
    </xf>
    <xf numFmtId="0" fontId="15" fillId="0" borderId="6" xfId="24" applyFont="1" applyBorder="1" applyAlignment="1">
      <alignment horizontal="center" vertical="center" wrapText="1"/>
    </xf>
    <xf numFmtId="49" fontId="15" fillId="0" borderId="6" xfId="24" applyNumberFormat="1" applyFont="1" applyBorder="1" applyAlignment="1">
      <alignment horizontal="center" vertical="center"/>
    </xf>
    <xf numFmtId="0" fontId="20" fillId="2" borderId="0" xfId="0" applyFont="1" applyFill="1"/>
    <xf numFmtId="0" fontId="7" fillId="2" borderId="0" xfId="0" applyFont="1" applyFill="1"/>
    <xf numFmtId="0" fontId="15" fillId="0" borderId="1" xfId="24" applyFont="1" applyBorder="1" applyAlignment="1">
      <alignment horizontal="center" vertical="center"/>
    </xf>
    <xf numFmtId="49" fontId="15" fillId="0" borderId="1" xfId="24" applyNumberFormat="1" applyFont="1" applyBorder="1" applyAlignment="1">
      <alignment horizontal="center" vertical="center"/>
    </xf>
    <xf numFmtId="0" fontId="15" fillId="5" borderId="1" xfId="24" applyFont="1" applyFill="1" applyBorder="1" applyAlignment="1">
      <alignment horizontal="center" vertical="center" wrapText="1"/>
    </xf>
    <xf numFmtId="0" fontId="15" fillId="0" borderId="1" xfId="24" applyFont="1" applyBorder="1" applyAlignment="1">
      <alignment horizontal="center" vertical="center" wrapText="1"/>
    </xf>
    <xf numFmtId="0" fontId="0" fillId="2" borderId="1" xfId="0" applyFill="1" applyBorder="1" applyAlignment="1">
      <alignment horizontal="center" vertical="center" wrapText="1"/>
    </xf>
    <xf numFmtId="0" fontId="8" fillId="2" borderId="1" xfId="34" applyFont="1" applyFill="1" applyBorder="1" applyAlignment="1">
      <alignment horizontal="center" vertical="center" wrapText="1"/>
    </xf>
    <xf numFmtId="0" fontId="8" fillId="2" borderId="1" xfId="35" applyFont="1" applyFill="1" applyBorder="1" applyAlignment="1">
      <alignment horizontal="center" vertical="center" wrapText="1"/>
    </xf>
    <xf numFmtId="164" fontId="8" fillId="2" borderId="1" xfId="34" applyNumberFormat="1" applyFont="1" applyFill="1" applyBorder="1" applyAlignment="1">
      <alignment horizontal="center" vertical="center" wrapText="1"/>
    </xf>
    <xf numFmtId="0" fontId="3" fillId="6" borderId="1" xfId="0" applyFont="1" applyFill="1" applyBorder="1" applyAlignment="1">
      <alignment horizontal="center" vertical="center"/>
    </xf>
    <xf numFmtId="0" fontId="23"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5" fillId="6" borderId="1" xfId="0" applyFont="1" applyFill="1" applyBorder="1" applyAlignment="1">
      <alignment horizontal="center" vertical="center"/>
    </xf>
    <xf numFmtId="0" fontId="9" fillId="7" borderId="1" xfId="0" applyFont="1" applyFill="1" applyBorder="1" applyAlignment="1">
      <alignment horizontal="center" vertical="center" wrapText="1"/>
    </xf>
    <xf numFmtId="0" fontId="5" fillId="6" borderId="13" xfId="0" applyFont="1" applyFill="1" applyBorder="1" applyAlignment="1">
      <alignment horizontal="center" vertical="center"/>
    </xf>
    <xf numFmtId="0" fontId="5" fillId="6" borderId="14" xfId="0" applyFont="1" applyFill="1" applyBorder="1" applyAlignment="1">
      <alignment horizontal="center" vertical="center"/>
    </xf>
    <xf numFmtId="0" fontId="22" fillId="5" borderId="0" xfId="23" applyFont="1" applyFill="1" applyAlignment="1">
      <alignment horizontal="center" vertical="center"/>
    </xf>
    <xf numFmtId="0" fontId="0" fillId="2" borderId="7" xfId="0" applyFill="1" applyBorder="1" applyAlignment="1">
      <alignment horizontal="center"/>
    </xf>
    <xf numFmtId="0" fontId="0" fillId="2" borderId="8" xfId="0" applyFill="1" applyBorder="1" applyAlignment="1">
      <alignment horizontal="center"/>
    </xf>
    <xf numFmtId="0" fontId="0" fillId="2" borderId="9" xfId="0" applyFill="1" applyBorder="1" applyAlignment="1">
      <alignment horizontal="center"/>
    </xf>
    <xf numFmtId="0" fontId="0" fillId="2" borderId="10" xfId="0" applyFill="1" applyBorder="1" applyAlignment="1">
      <alignment horizontal="center"/>
    </xf>
    <xf numFmtId="0" fontId="0" fillId="2" borderId="11" xfId="0" applyFill="1" applyBorder="1" applyAlignment="1">
      <alignment horizontal="center"/>
    </xf>
    <xf numFmtId="0" fontId="0" fillId="2" borderId="12" xfId="0" applyFill="1" applyBorder="1" applyAlignment="1">
      <alignment horizontal="center"/>
    </xf>
    <xf numFmtId="14" fontId="4" fillId="2" borderId="1" xfId="0" applyNumberFormat="1" applyFont="1" applyFill="1" applyBorder="1" applyAlignment="1">
      <alignment horizontal="center" vertical="center"/>
    </xf>
    <xf numFmtId="0" fontId="4" fillId="2" borderId="1" xfId="0" applyFont="1" applyFill="1" applyBorder="1" applyAlignment="1">
      <alignment horizontal="center" vertical="center"/>
    </xf>
    <xf numFmtId="0" fontId="2" fillId="6" borderId="1" xfId="0" applyFont="1" applyFill="1" applyBorder="1" applyAlignment="1">
      <alignment horizontal="center" vertical="center" wrapText="1"/>
    </xf>
    <xf numFmtId="0" fontId="4" fillId="2" borderId="1" xfId="0" applyFont="1" applyFill="1" applyBorder="1" applyAlignment="1">
      <alignment horizontal="center" vertical="center" wrapText="1"/>
    </xf>
  </cellXfs>
  <cellStyles count="36">
    <cellStyle name="40% - 강조색1 2" xfId="13" xr:uid="{00000000-0005-0000-0000-000000000000}"/>
    <cellStyle name="Hipervínculo 2" xfId="33" xr:uid="{00000000-0005-0000-0000-000001000000}"/>
    <cellStyle name="Normal" xfId="0" builtinId="0"/>
    <cellStyle name="Normal 15" xfId="35" xr:uid="{7FEFBF12-324C-4790-B7FD-FF9750EB92FC}"/>
    <cellStyle name="Normal 2" xfId="2" xr:uid="{00000000-0005-0000-0000-000003000000}"/>
    <cellStyle name="Normal 2 2" xfId="4" xr:uid="{00000000-0005-0000-0000-000004000000}"/>
    <cellStyle name="Normal 2 2 2" xfId="8" xr:uid="{00000000-0005-0000-0000-000005000000}"/>
    <cellStyle name="Normal 2 2 3" xfId="5" xr:uid="{00000000-0005-0000-0000-000006000000}"/>
    <cellStyle name="Normal 2 2 4" xfId="16" xr:uid="{00000000-0005-0000-0000-000007000000}"/>
    <cellStyle name="Normal 2 2 5" xfId="9" xr:uid="{00000000-0005-0000-0000-000008000000}"/>
    <cellStyle name="Normal 2 2 6" xfId="17" xr:uid="{00000000-0005-0000-0000-000009000000}"/>
    <cellStyle name="Normal 2 2 7" xfId="19" xr:uid="{00000000-0005-0000-0000-00000A000000}"/>
    <cellStyle name="Normal 2 2 8" xfId="20" xr:uid="{00000000-0005-0000-0000-00000B000000}"/>
    <cellStyle name="Normal 2 2 9" xfId="21" xr:uid="{00000000-0005-0000-0000-00000C000000}"/>
    <cellStyle name="Normal 2 3" xfId="34" xr:uid="{B16DC96D-7F50-4DA8-8BBC-40309EC76D8B}"/>
    <cellStyle name="Normal 3" xfId="22" xr:uid="{00000000-0005-0000-0000-00000D000000}"/>
    <cellStyle name="Normal 4" xfId="28" xr:uid="{00000000-0005-0000-0000-00000E000000}"/>
    <cellStyle name="Normal 5" xfId="29" xr:uid="{00000000-0005-0000-0000-00000F000000}"/>
    <cellStyle name="Normal 6" xfId="32" xr:uid="{00000000-0005-0000-0000-000010000000}"/>
    <cellStyle name="Style 1" xfId="30" xr:uid="{00000000-0005-0000-0000-000011000000}"/>
    <cellStyle name="표준 2" xfId="1" xr:uid="{00000000-0005-0000-0000-000012000000}"/>
    <cellStyle name="표준 3" xfId="3" xr:uid="{00000000-0005-0000-0000-000013000000}"/>
    <cellStyle name="표준 3 2" xfId="7" xr:uid="{00000000-0005-0000-0000-000014000000}"/>
    <cellStyle name="표준 3 3" xfId="6" xr:uid="{00000000-0005-0000-0000-000015000000}"/>
    <cellStyle name="표준 3 4" xfId="15" xr:uid="{00000000-0005-0000-0000-000016000000}"/>
    <cellStyle name="표준 3 5" xfId="10" xr:uid="{00000000-0005-0000-0000-000017000000}"/>
    <cellStyle name="표준 3 6" xfId="11" xr:uid="{00000000-0005-0000-0000-000018000000}"/>
    <cellStyle name="표준 3 7" xfId="12" xr:uid="{00000000-0005-0000-0000-000019000000}"/>
    <cellStyle name="표준 3 8" xfId="14" xr:uid="{00000000-0005-0000-0000-00001A000000}"/>
    <cellStyle name="표준 3 9" xfId="18" xr:uid="{00000000-0005-0000-0000-00001B000000}"/>
    <cellStyle name="표준 4" xfId="25" xr:uid="{00000000-0005-0000-0000-00001C000000}"/>
    <cellStyle name="표준 5" xfId="31" xr:uid="{00000000-0005-0000-0000-00001D000000}"/>
    <cellStyle name="표준_F_T Check List 0325" xfId="27" xr:uid="{00000000-0005-0000-0000-00001E000000}"/>
    <cellStyle name="표준_LF1200_PLA_자동화테스트수행계획서_V2.0(재수정)" xfId="23" xr:uid="{00000000-0005-0000-0000-00001F000000}"/>
    <cellStyle name="표준_MM_호환성CheckList_v1.0" xfId="24" xr:uid="{00000000-0005-0000-0000-000020000000}"/>
    <cellStyle name="하이퍼링크 2" xfId="26" xr:uid="{00000000-0005-0000-0000-000021000000}"/>
  </cellStyles>
  <dxfs count="4">
    <dxf>
      <font>
        <b/>
        <i/>
        <color theme="1"/>
      </font>
      <fill>
        <patternFill>
          <bgColor theme="9"/>
        </patternFill>
      </fill>
    </dxf>
    <dxf>
      <font>
        <b/>
        <i/>
        <color auto="1"/>
      </font>
      <fill>
        <patternFill>
          <bgColor rgb="FFFF0000"/>
        </patternFill>
      </fill>
    </dxf>
    <dxf>
      <font>
        <b/>
        <i/>
        <color auto="1"/>
      </font>
      <fill>
        <patternFill>
          <bgColor theme="0"/>
        </patternFill>
      </fill>
    </dxf>
    <dxf>
      <font>
        <b/>
        <i/>
        <color auto="1"/>
      </font>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jira-ex.transsion.com:6001/browse/CL7SP765A-200" TargetMode="External"/><Relationship Id="rId1" Type="http://schemas.openxmlformats.org/officeDocument/2006/relationships/hyperlink" Target="http://jira-ex.transsion.com:6001/browse/CL7SP765A-2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G20"/>
  <sheetViews>
    <sheetView topLeftCell="B1" workbookViewId="0">
      <selection activeCell="E5" sqref="E5"/>
    </sheetView>
  </sheetViews>
  <sheetFormatPr baseColWidth="10" defaultColWidth="11.28515625" defaultRowHeight="15"/>
  <cols>
    <col min="1" max="2" width="11.28515625" style="1"/>
    <col min="3" max="3" width="3.7109375" style="1" bestFit="1" customWidth="1"/>
    <col min="4" max="4" width="10.28515625" style="1" bestFit="1" customWidth="1"/>
    <col min="5" max="5" width="25.28515625" style="1" bestFit="1" customWidth="1"/>
    <col min="6" max="6" width="19.7109375" style="1" customWidth="1"/>
    <col min="7" max="7" width="34.7109375" style="1" bestFit="1" customWidth="1"/>
    <col min="8" max="16384" width="11.28515625" style="1"/>
  </cols>
  <sheetData>
    <row r="1" spans="3:7" ht="8.25" customHeight="1"/>
    <row r="2" spans="3:7" ht="9" customHeight="1"/>
    <row r="3" spans="3:7" ht="7.5" customHeight="1"/>
    <row r="4" spans="3:7" ht="26.25">
      <c r="C4" s="36" t="s">
        <v>90</v>
      </c>
      <c r="D4" s="36"/>
      <c r="E4" s="36"/>
      <c r="F4" s="36"/>
      <c r="G4" s="36"/>
    </row>
    <row r="5" spans="3:7" ht="15.75" thickBot="1">
      <c r="C5" s="12"/>
      <c r="D5" s="12"/>
      <c r="E5" s="12"/>
      <c r="F5" s="12"/>
      <c r="G5" s="12"/>
    </row>
    <row r="6" spans="3:7" ht="20.25">
      <c r="C6" s="11" t="s">
        <v>6</v>
      </c>
      <c r="D6" s="8" t="s">
        <v>91</v>
      </c>
      <c r="E6" s="10" t="s">
        <v>92</v>
      </c>
      <c r="F6" s="9" t="s">
        <v>93</v>
      </c>
      <c r="G6" s="8" t="s">
        <v>94</v>
      </c>
    </row>
    <row r="7" spans="3:7" ht="27">
      <c r="C7" s="14">
        <v>1</v>
      </c>
      <c r="D7" s="13">
        <v>43298</v>
      </c>
      <c r="E7" s="24" t="s">
        <v>95</v>
      </c>
      <c r="F7" s="22" t="s">
        <v>96</v>
      </c>
      <c r="G7" s="21" t="s">
        <v>97</v>
      </c>
    </row>
    <row r="8" spans="3:7" ht="27">
      <c r="C8" s="14">
        <v>2</v>
      </c>
      <c r="D8" s="13">
        <v>43409</v>
      </c>
      <c r="E8" s="23" t="s">
        <v>108</v>
      </c>
      <c r="F8" s="22" t="s">
        <v>109</v>
      </c>
      <c r="G8" s="21" t="s">
        <v>97</v>
      </c>
    </row>
    <row r="9" spans="3:7" ht="27">
      <c r="C9" s="14">
        <v>3</v>
      </c>
      <c r="D9" s="13">
        <v>43589</v>
      </c>
      <c r="E9" s="24" t="s">
        <v>118</v>
      </c>
      <c r="F9" s="22" t="s">
        <v>117</v>
      </c>
      <c r="G9" s="21" t="s">
        <v>97</v>
      </c>
    </row>
    <row r="10" spans="3:7">
      <c r="C10" s="14">
        <v>4</v>
      </c>
      <c r="D10" s="13">
        <v>43662</v>
      </c>
      <c r="E10" s="24" t="s">
        <v>120</v>
      </c>
      <c r="F10" s="22" t="s">
        <v>121</v>
      </c>
      <c r="G10" s="21" t="s">
        <v>97</v>
      </c>
    </row>
    <row r="11" spans="3:7">
      <c r="C11" s="14">
        <v>5</v>
      </c>
      <c r="D11" s="13">
        <v>43712</v>
      </c>
      <c r="E11" s="23" t="s">
        <v>153</v>
      </c>
      <c r="F11" s="22" t="s">
        <v>152</v>
      </c>
      <c r="G11" s="21" t="s">
        <v>97</v>
      </c>
    </row>
    <row r="12" spans="3:7">
      <c r="C12" s="14">
        <v>6</v>
      </c>
      <c r="D12" s="13"/>
      <c r="E12" s="24"/>
      <c r="F12" s="22"/>
      <c r="G12" s="21"/>
    </row>
    <row r="13" spans="3:7">
      <c r="C13" s="14">
        <v>7</v>
      </c>
      <c r="D13" s="13"/>
      <c r="E13" s="24"/>
      <c r="F13" s="22"/>
      <c r="G13" s="21"/>
    </row>
    <row r="14" spans="3:7">
      <c r="C14" s="14">
        <v>8</v>
      </c>
      <c r="D14" s="13"/>
      <c r="E14" s="24"/>
      <c r="F14" s="22"/>
      <c r="G14" s="21"/>
    </row>
    <row r="15" spans="3:7">
      <c r="C15" s="14">
        <v>9</v>
      </c>
      <c r="D15" s="13"/>
      <c r="E15" s="24"/>
      <c r="F15" s="22"/>
      <c r="G15" s="21"/>
    </row>
    <row r="16" spans="3:7">
      <c r="C16" s="14">
        <v>10</v>
      </c>
      <c r="D16" s="13"/>
      <c r="E16" s="24"/>
      <c r="F16" s="22"/>
      <c r="G16" s="21"/>
    </row>
    <row r="17" spans="3:7">
      <c r="C17" s="14">
        <v>11</v>
      </c>
      <c r="D17" s="13"/>
      <c r="E17" s="24"/>
      <c r="F17" s="22"/>
      <c r="G17" s="21"/>
    </row>
    <row r="18" spans="3:7">
      <c r="C18" s="14">
        <v>12</v>
      </c>
      <c r="D18" s="13"/>
      <c r="E18" s="24"/>
      <c r="F18" s="22"/>
      <c r="G18" s="21"/>
    </row>
    <row r="19" spans="3:7">
      <c r="C19" s="14">
        <v>13</v>
      </c>
      <c r="D19" s="13"/>
      <c r="E19" s="24"/>
      <c r="F19" s="22"/>
      <c r="G19" s="21"/>
    </row>
    <row r="20" spans="3:7" ht="15.75" thickBot="1">
      <c r="C20" s="15">
        <v>14</v>
      </c>
      <c r="D20" s="16"/>
      <c r="E20" s="17"/>
      <c r="F20" s="18"/>
      <c r="G20" s="16"/>
    </row>
  </sheetData>
  <mergeCells count="1">
    <mergeCell ref="C4:G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62"/>
  <sheetViews>
    <sheetView tabSelected="1" zoomScale="85" zoomScaleNormal="85" workbookViewId="0">
      <selection activeCell="F5" sqref="F5"/>
    </sheetView>
  </sheetViews>
  <sheetFormatPr baseColWidth="10" defaultColWidth="11.28515625" defaultRowHeight="15"/>
  <cols>
    <col min="1" max="1" width="3.140625" style="1" customWidth="1"/>
    <col min="2" max="2" width="6.28515625" style="2" bestFit="1" customWidth="1"/>
    <col min="3" max="3" width="23.42578125" style="1" bestFit="1" customWidth="1"/>
    <col min="4" max="4" width="43.85546875" style="1" bestFit="1" customWidth="1"/>
    <col min="5" max="5" width="38" style="1" bestFit="1" customWidth="1"/>
    <col min="6" max="6" width="11.28515625" style="7" customWidth="1"/>
    <col min="7" max="7" width="36.28515625" style="1" customWidth="1"/>
    <col min="8" max="8" width="18.5703125" style="1" customWidth="1"/>
    <col min="9" max="9" width="44" style="1" customWidth="1"/>
    <col min="10" max="10" width="37.28515625" style="1" customWidth="1"/>
    <col min="11" max="16384" width="11.28515625" style="1"/>
  </cols>
  <sheetData>
    <row r="1" spans="2:10" ht="15" customHeight="1"/>
    <row r="2" spans="2:10" ht="27.75" customHeight="1">
      <c r="C2" s="45" t="s">
        <v>156</v>
      </c>
      <c r="D2" s="45"/>
      <c r="E2" s="45"/>
      <c r="G2" s="30" t="s">
        <v>3</v>
      </c>
      <c r="H2" s="30" t="s">
        <v>104</v>
      </c>
      <c r="J2" s="19"/>
    </row>
    <row r="3" spans="2:10" ht="18">
      <c r="C3" s="29" t="s">
        <v>0</v>
      </c>
      <c r="D3" s="44" t="s">
        <v>174</v>
      </c>
      <c r="E3" s="44"/>
      <c r="G3" s="4" t="s">
        <v>100</v>
      </c>
      <c r="H3" s="3">
        <f>COUNTIF(F12:F62,J3)</f>
        <v>44</v>
      </c>
      <c r="J3" s="20" t="s">
        <v>100</v>
      </c>
    </row>
    <row r="4" spans="2:10" ht="18">
      <c r="C4" s="29" t="s">
        <v>160</v>
      </c>
      <c r="D4" s="46" t="s">
        <v>177</v>
      </c>
      <c r="E4" s="44"/>
      <c r="G4" s="4" t="s">
        <v>105</v>
      </c>
      <c r="H4" s="3">
        <f>COUNTIF(F12:F62,J4)</f>
        <v>2</v>
      </c>
      <c r="J4" s="20" t="s">
        <v>101</v>
      </c>
    </row>
    <row r="5" spans="2:10" ht="18">
      <c r="C5" s="29" t="s">
        <v>161</v>
      </c>
      <c r="D5" s="44">
        <v>1410</v>
      </c>
      <c r="E5" s="44"/>
      <c r="G5" s="4" t="s">
        <v>102</v>
      </c>
      <c r="H5" s="3">
        <f>COUNTIF(F12:F62,J5)</f>
        <v>4</v>
      </c>
      <c r="J5" s="20" t="s">
        <v>102</v>
      </c>
    </row>
    <row r="6" spans="2:10" ht="18">
      <c r="C6" s="29" t="s">
        <v>113</v>
      </c>
      <c r="D6" s="43">
        <v>46051</v>
      </c>
      <c r="E6" s="44"/>
      <c r="G6" s="4" t="s">
        <v>4</v>
      </c>
      <c r="H6" s="3">
        <f>COUNTIF(F12:F62,J6)</f>
        <v>0</v>
      </c>
      <c r="J6" s="20" t="s">
        <v>4</v>
      </c>
    </row>
    <row r="7" spans="2:10" ht="18">
      <c r="C7" s="29" t="s">
        <v>5</v>
      </c>
      <c r="D7" s="43" t="s">
        <v>171</v>
      </c>
      <c r="E7" s="44"/>
      <c r="G7" s="4" t="s">
        <v>103</v>
      </c>
      <c r="H7" s="3"/>
      <c r="J7" s="20"/>
    </row>
    <row r="8" spans="2:10" ht="18">
      <c r="C8" s="29" t="s">
        <v>110</v>
      </c>
      <c r="D8" s="43" t="s">
        <v>176</v>
      </c>
      <c r="E8" s="44"/>
      <c r="J8" s="19"/>
    </row>
    <row r="9" spans="2:10">
      <c r="J9" s="19"/>
    </row>
    <row r="10" spans="2:10" ht="15.75" thickBot="1">
      <c r="J10" s="19"/>
    </row>
    <row r="11" spans="2:10" ht="30.75" customHeight="1" thickBot="1">
      <c r="B11" s="31" t="s">
        <v>6</v>
      </c>
      <c r="C11" s="32" t="s">
        <v>1</v>
      </c>
      <c r="D11" s="32" t="s">
        <v>10</v>
      </c>
      <c r="E11" s="32" t="s">
        <v>7</v>
      </c>
      <c r="F11" s="32" t="s">
        <v>3</v>
      </c>
      <c r="G11" s="32" t="s">
        <v>2</v>
      </c>
      <c r="I11" s="34" t="s">
        <v>114</v>
      </c>
      <c r="J11" s="35" t="s">
        <v>115</v>
      </c>
    </row>
    <row r="12" spans="2:10" ht="122.25" customHeight="1">
      <c r="B12" s="4">
        <v>1</v>
      </c>
      <c r="C12" s="5" t="s">
        <v>8</v>
      </c>
      <c r="D12" s="5" t="s">
        <v>157</v>
      </c>
      <c r="E12" s="5" t="s">
        <v>154</v>
      </c>
      <c r="F12" s="6" t="s">
        <v>100</v>
      </c>
      <c r="G12" s="5"/>
      <c r="I12" s="37"/>
      <c r="J12" s="40"/>
    </row>
    <row r="13" spans="2:10" ht="25.5">
      <c r="B13" s="4">
        <v>2</v>
      </c>
      <c r="C13" s="5" t="s">
        <v>11</v>
      </c>
      <c r="D13" s="5" t="s">
        <v>163</v>
      </c>
      <c r="E13" s="5" t="s">
        <v>12</v>
      </c>
      <c r="F13" s="6" t="s">
        <v>100</v>
      </c>
      <c r="G13" s="5"/>
      <c r="I13" s="38"/>
      <c r="J13" s="41"/>
    </row>
    <row r="14" spans="2:10" ht="102">
      <c r="B14" s="4">
        <v>4</v>
      </c>
      <c r="C14" s="5" t="s">
        <v>14</v>
      </c>
      <c r="D14" s="5" t="s">
        <v>16</v>
      </c>
      <c r="E14" s="5" t="s">
        <v>162</v>
      </c>
      <c r="F14" s="6" t="s">
        <v>100</v>
      </c>
      <c r="G14" s="5"/>
      <c r="I14" s="38"/>
      <c r="J14" s="41"/>
    </row>
    <row r="15" spans="2:10" ht="77.25" thickBot="1">
      <c r="B15" s="4">
        <v>5</v>
      </c>
      <c r="C15" s="5" t="s">
        <v>15</v>
      </c>
      <c r="D15" s="5" t="s">
        <v>164</v>
      </c>
      <c r="E15" s="5" t="s">
        <v>17</v>
      </c>
      <c r="F15" s="6" t="s">
        <v>102</v>
      </c>
      <c r="G15" s="5"/>
      <c r="I15" s="39"/>
      <c r="J15" s="42"/>
    </row>
    <row r="16" spans="2:10" ht="76.5">
      <c r="B16" s="4">
        <v>6</v>
      </c>
      <c r="C16" s="5" t="s">
        <v>15</v>
      </c>
      <c r="D16" s="5" t="s">
        <v>165</v>
      </c>
      <c r="E16" s="5" t="s">
        <v>17</v>
      </c>
      <c r="F16" s="6" t="s">
        <v>100</v>
      </c>
      <c r="G16" s="5"/>
    </row>
    <row r="17" spans="2:7" ht="89.25">
      <c r="B17" s="4">
        <v>7</v>
      </c>
      <c r="C17" s="5" t="s">
        <v>18</v>
      </c>
      <c r="D17" s="5" t="s">
        <v>19</v>
      </c>
      <c r="E17" s="5" t="s">
        <v>20</v>
      </c>
      <c r="F17" s="6" t="s">
        <v>100</v>
      </c>
      <c r="G17" s="5"/>
    </row>
    <row r="18" spans="2:7" ht="114.75">
      <c r="B18" s="4">
        <v>8</v>
      </c>
      <c r="C18" s="5" t="s">
        <v>21</v>
      </c>
      <c r="D18" s="5" t="s">
        <v>22</v>
      </c>
      <c r="E18" s="5" t="s">
        <v>23</v>
      </c>
      <c r="F18" s="6" t="s">
        <v>100</v>
      </c>
      <c r="G18" s="5"/>
    </row>
    <row r="19" spans="2:7" ht="51">
      <c r="B19" s="4">
        <v>9</v>
      </c>
      <c r="C19" s="5" t="s">
        <v>24</v>
      </c>
      <c r="D19" s="5" t="s">
        <v>25</v>
      </c>
      <c r="E19" s="5" t="s">
        <v>26</v>
      </c>
      <c r="F19" s="6" t="s">
        <v>100</v>
      </c>
      <c r="G19" s="5"/>
    </row>
    <row r="20" spans="2:7" ht="63.75">
      <c r="B20" s="4">
        <v>10</v>
      </c>
      <c r="C20" s="5" t="s">
        <v>27</v>
      </c>
      <c r="D20" s="5" t="s">
        <v>28</v>
      </c>
      <c r="E20" s="5" t="s">
        <v>29</v>
      </c>
      <c r="F20" s="6" t="s">
        <v>100</v>
      </c>
      <c r="G20" s="5"/>
    </row>
    <row r="21" spans="2:7" ht="38.25">
      <c r="B21" s="4">
        <v>11</v>
      </c>
      <c r="C21" s="5" t="s">
        <v>33</v>
      </c>
      <c r="D21" s="5" t="s">
        <v>34</v>
      </c>
      <c r="E21" s="5" t="s">
        <v>35</v>
      </c>
      <c r="F21" s="6" t="s">
        <v>100</v>
      </c>
      <c r="G21" s="5"/>
    </row>
    <row r="22" spans="2:7" ht="102">
      <c r="B22" s="4">
        <v>12</v>
      </c>
      <c r="C22" s="5" t="s">
        <v>36</v>
      </c>
      <c r="D22" s="5" t="s">
        <v>37</v>
      </c>
      <c r="E22" s="5" t="s">
        <v>38</v>
      </c>
      <c r="F22" s="6" t="s">
        <v>100</v>
      </c>
      <c r="G22" s="5"/>
    </row>
    <row r="23" spans="2:7" ht="51">
      <c r="B23" s="4">
        <v>13</v>
      </c>
      <c r="C23" s="5" t="s">
        <v>39</v>
      </c>
      <c r="D23" s="5" t="s">
        <v>40</v>
      </c>
      <c r="E23" s="5" t="s">
        <v>166</v>
      </c>
      <c r="F23" s="6" t="s">
        <v>100</v>
      </c>
      <c r="G23" s="5"/>
    </row>
    <row r="24" spans="2:7" ht="51">
      <c r="B24" s="4">
        <v>14</v>
      </c>
      <c r="C24" s="5" t="s">
        <v>41</v>
      </c>
      <c r="D24" s="5" t="s">
        <v>42</v>
      </c>
      <c r="E24" s="5" t="s">
        <v>43</v>
      </c>
      <c r="F24" s="6" t="s">
        <v>100</v>
      </c>
      <c r="G24" s="5"/>
    </row>
    <row r="25" spans="2:7" ht="38.25">
      <c r="B25" s="4">
        <v>15</v>
      </c>
      <c r="C25" s="5" t="s">
        <v>122</v>
      </c>
      <c r="D25" s="5" t="s">
        <v>123</v>
      </c>
      <c r="E25" s="5" t="s">
        <v>124</v>
      </c>
      <c r="F25" s="6" t="s">
        <v>100</v>
      </c>
      <c r="G25" s="5"/>
    </row>
    <row r="26" spans="2:7" ht="38.25">
      <c r="B26" s="4">
        <v>16</v>
      </c>
      <c r="C26" s="5" t="s">
        <v>122</v>
      </c>
      <c r="D26" s="5" t="s">
        <v>125</v>
      </c>
      <c r="E26" s="5" t="s">
        <v>126</v>
      </c>
      <c r="F26" s="6" t="s">
        <v>100</v>
      </c>
      <c r="G26" s="5"/>
    </row>
    <row r="27" spans="2:7" ht="191.25">
      <c r="B27" s="4">
        <v>17</v>
      </c>
      <c r="C27" s="5" t="s">
        <v>127</v>
      </c>
      <c r="D27" s="5" t="s">
        <v>128</v>
      </c>
      <c r="E27" s="5" t="s">
        <v>129</v>
      </c>
      <c r="F27" s="6" t="s">
        <v>100</v>
      </c>
      <c r="G27" s="5"/>
    </row>
    <row r="28" spans="2:7" ht="63.75">
      <c r="B28" s="4">
        <v>18</v>
      </c>
      <c r="C28" s="5" t="s">
        <v>130</v>
      </c>
      <c r="D28" s="5" t="s">
        <v>131</v>
      </c>
      <c r="E28" s="5" t="s">
        <v>132</v>
      </c>
      <c r="F28" s="6" t="s">
        <v>100</v>
      </c>
      <c r="G28" s="5"/>
    </row>
    <row r="29" spans="2:7" ht="63.75">
      <c r="B29" s="4">
        <v>19</v>
      </c>
      <c r="C29" s="5" t="s">
        <v>122</v>
      </c>
      <c r="D29" s="5" t="s">
        <v>133</v>
      </c>
      <c r="E29" s="5" t="s">
        <v>134</v>
      </c>
      <c r="F29" s="6" t="s">
        <v>100</v>
      </c>
      <c r="G29" s="5"/>
    </row>
    <row r="30" spans="2:7" ht="63.75">
      <c r="B30" s="4">
        <v>20</v>
      </c>
      <c r="C30" s="5" t="s">
        <v>122</v>
      </c>
      <c r="D30" s="5" t="s">
        <v>135</v>
      </c>
      <c r="E30" s="5" t="s">
        <v>136</v>
      </c>
      <c r="F30" s="6" t="s">
        <v>100</v>
      </c>
      <c r="G30" s="5"/>
    </row>
    <row r="31" spans="2:7" ht="114.75">
      <c r="B31" s="4">
        <v>21</v>
      </c>
      <c r="C31" s="5" t="s">
        <v>137</v>
      </c>
      <c r="D31" s="26" t="s">
        <v>138</v>
      </c>
      <c r="E31" s="26" t="s">
        <v>139</v>
      </c>
      <c r="F31" s="6" t="s">
        <v>102</v>
      </c>
      <c r="G31" s="5"/>
    </row>
    <row r="32" spans="2:7" ht="38.25">
      <c r="B32" s="4">
        <v>22</v>
      </c>
      <c r="C32" s="5" t="s">
        <v>140</v>
      </c>
      <c r="D32" s="27" t="s">
        <v>141</v>
      </c>
      <c r="E32" s="26" t="s">
        <v>142</v>
      </c>
      <c r="F32" s="6" t="s">
        <v>100</v>
      </c>
      <c r="G32" s="5"/>
    </row>
    <row r="33" spans="2:7" ht="38.25">
      <c r="B33" s="4">
        <v>23</v>
      </c>
      <c r="C33" s="5" t="s">
        <v>143</v>
      </c>
      <c r="D33" s="26" t="s">
        <v>144</v>
      </c>
      <c r="E33" s="28" t="s">
        <v>145</v>
      </c>
      <c r="F33" s="6" t="s">
        <v>100</v>
      </c>
      <c r="G33" s="5"/>
    </row>
    <row r="34" spans="2:7" ht="38.25">
      <c r="B34" s="4">
        <v>24</v>
      </c>
      <c r="C34" s="5" t="s">
        <v>143</v>
      </c>
      <c r="D34" s="26" t="s">
        <v>146</v>
      </c>
      <c r="E34" s="28" t="s">
        <v>147</v>
      </c>
      <c r="F34" s="6" t="s">
        <v>100</v>
      </c>
      <c r="G34" s="5"/>
    </row>
    <row r="35" spans="2:7" ht="127.5">
      <c r="B35" s="4">
        <v>25</v>
      </c>
      <c r="C35" s="5" t="s">
        <v>143</v>
      </c>
      <c r="D35" s="26" t="s">
        <v>148</v>
      </c>
      <c r="E35" s="28" t="s">
        <v>149</v>
      </c>
      <c r="F35" s="6" t="s">
        <v>100</v>
      </c>
      <c r="G35" s="5"/>
    </row>
    <row r="36" spans="2:7" ht="63.75">
      <c r="B36" s="4">
        <v>26</v>
      </c>
      <c r="C36" s="5" t="s">
        <v>143</v>
      </c>
      <c r="D36" s="26" t="s">
        <v>150</v>
      </c>
      <c r="E36" s="28" t="s">
        <v>151</v>
      </c>
      <c r="F36" s="6" t="s">
        <v>100</v>
      </c>
      <c r="G36" s="5"/>
    </row>
    <row r="37" spans="2:7" ht="38.25">
      <c r="B37" s="4">
        <v>27</v>
      </c>
      <c r="C37" s="5" t="s">
        <v>143</v>
      </c>
      <c r="D37" s="26" t="s">
        <v>141</v>
      </c>
      <c r="E37" s="28" t="s">
        <v>142</v>
      </c>
      <c r="F37" s="6" t="s">
        <v>102</v>
      </c>
      <c r="G37" s="5"/>
    </row>
    <row r="38" spans="2:7" ht="102">
      <c r="B38" s="4">
        <v>28</v>
      </c>
      <c r="C38" s="5" t="s">
        <v>13</v>
      </c>
      <c r="D38" s="5" t="s">
        <v>44</v>
      </c>
      <c r="E38" s="5" t="s">
        <v>45</v>
      </c>
      <c r="F38" s="6" t="s">
        <v>100</v>
      </c>
      <c r="G38" s="5"/>
    </row>
    <row r="39" spans="2:7" ht="76.5">
      <c r="B39" s="4">
        <v>29</v>
      </c>
      <c r="C39" s="5" t="s">
        <v>46</v>
      </c>
      <c r="D39" s="5" t="s">
        <v>47</v>
      </c>
      <c r="E39" s="5" t="s">
        <v>48</v>
      </c>
      <c r="F39" s="6" t="s">
        <v>100</v>
      </c>
      <c r="G39" s="5"/>
    </row>
    <row r="40" spans="2:7" ht="63.75">
      <c r="B40" s="4">
        <v>30</v>
      </c>
      <c r="C40" s="5" t="s">
        <v>46</v>
      </c>
      <c r="D40" s="5" t="s">
        <v>49</v>
      </c>
      <c r="E40" s="5" t="s">
        <v>48</v>
      </c>
      <c r="F40" s="6" t="s">
        <v>100</v>
      </c>
      <c r="G40" s="5"/>
    </row>
    <row r="41" spans="2:7" ht="89.25">
      <c r="B41" s="4">
        <v>31</v>
      </c>
      <c r="C41" s="5" t="s">
        <v>50</v>
      </c>
      <c r="D41" s="5" t="s">
        <v>106</v>
      </c>
      <c r="E41" s="5" t="s">
        <v>51</v>
      </c>
      <c r="F41" s="6" t="s">
        <v>100</v>
      </c>
      <c r="G41" s="5"/>
    </row>
    <row r="42" spans="2:7" ht="76.5">
      <c r="B42" s="4">
        <v>32</v>
      </c>
      <c r="C42" s="5" t="s">
        <v>54</v>
      </c>
      <c r="D42" s="5" t="s">
        <v>52</v>
      </c>
      <c r="E42" s="5" t="s">
        <v>53</v>
      </c>
      <c r="F42" s="6" t="s">
        <v>100</v>
      </c>
      <c r="G42" s="5"/>
    </row>
    <row r="43" spans="2:7" ht="51">
      <c r="B43" s="4">
        <v>33</v>
      </c>
      <c r="C43" s="5" t="s">
        <v>55</v>
      </c>
      <c r="D43" s="5" t="s">
        <v>56</v>
      </c>
      <c r="E43" s="5" t="s">
        <v>57</v>
      </c>
      <c r="F43" s="6" t="s">
        <v>100</v>
      </c>
      <c r="G43" s="5"/>
    </row>
    <row r="44" spans="2:7" ht="51">
      <c r="B44" s="4">
        <v>34</v>
      </c>
      <c r="C44" s="5" t="s">
        <v>58</v>
      </c>
      <c r="D44" s="5" t="s">
        <v>59</v>
      </c>
      <c r="E44" s="5" t="s">
        <v>60</v>
      </c>
      <c r="F44" s="6" t="s">
        <v>100</v>
      </c>
      <c r="G44" s="5"/>
    </row>
    <row r="45" spans="2:7" ht="51">
      <c r="B45" s="4">
        <v>35</v>
      </c>
      <c r="C45" s="5" t="s">
        <v>58</v>
      </c>
      <c r="D45" s="5" t="s">
        <v>61</v>
      </c>
      <c r="E45" s="5" t="s">
        <v>62</v>
      </c>
      <c r="F45" s="6" t="s">
        <v>100</v>
      </c>
      <c r="G45" s="5"/>
    </row>
    <row r="46" spans="2:7" ht="63.75">
      <c r="B46" s="4">
        <v>36</v>
      </c>
      <c r="C46" s="5" t="s">
        <v>63</v>
      </c>
      <c r="D46" s="5" t="s">
        <v>64</v>
      </c>
      <c r="E46" s="5" t="s">
        <v>65</v>
      </c>
      <c r="F46" s="6" t="s">
        <v>100</v>
      </c>
      <c r="G46" s="5"/>
    </row>
    <row r="47" spans="2:7" ht="25.5">
      <c r="B47" s="4">
        <v>37</v>
      </c>
      <c r="C47" s="5" t="s">
        <v>66</v>
      </c>
      <c r="D47" s="5" t="s">
        <v>68</v>
      </c>
      <c r="E47" s="5" t="s">
        <v>67</v>
      </c>
      <c r="F47" s="6" t="s">
        <v>100</v>
      </c>
      <c r="G47" s="5"/>
    </row>
    <row r="48" spans="2:7" ht="63.75">
      <c r="B48" s="4">
        <v>38</v>
      </c>
      <c r="C48" s="5" t="s">
        <v>69</v>
      </c>
      <c r="D48" s="5" t="s">
        <v>70</v>
      </c>
      <c r="E48" s="5" t="s">
        <v>71</v>
      </c>
      <c r="F48" s="6" t="s">
        <v>100</v>
      </c>
      <c r="G48" s="5"/>
    </row>
    <row r="49" spans="2:7" ht="63.75">
      <c r="B49" s="4">
        <v>39</v>
      </c>
      <c r="C49" s="5" t="s">
        <v>72</v>
      </c>
      <c r="D49" s="5" t="s">
        <v>73</v>
      </c>
      <c r="E49" s="5" t="s">
        <v>74</v>
      </c>
      <c r="F49" s="6" t="s">
        <v>100</v>
      </c>
      <c r="G49" s="5"/>
    </row>
    <row r="50" spans="2:7" ht="51">
      <c r="B50" s="4">
        <v>40</v>
      </c>
      <c r="C50" s="5" t="s">
        <v>75</v>
      </c>
      <c r="D50" s="5" t="s">
        <v>79</v>
      </c>
      <c r="E50" s="5" t="s">
        <v>76</v>
      </c>
      <c r="F50" s="6" t="s">
        <v>100</v>
      </c>
      <c r="G50" s="5"/>
    </row>
    <row r="51" spans="2:7" ht="60">
      <c r="B51" s="4">
        <v>41</v>
      </c>
      <c r="C51" s="5" t="s">
        <v>119</v>
      </c>
      <c r="D51" s="25" t="s">
        <v>116</v>
      </c>
      <c r="E51" s="25" t="s">
        <v>155</v>
      </c>
      <c r="F51" s="6" t="s">
        <v>100</v>
      </c>
      <c r="G51" s="5"/>
    </row>
    <row r="52" spans="2:7" ht="63.75">
      <c r="B52" s="4">
        <v>42</v>
      </c>
      <c r="C52" s="5" t="s">
        <v>77</v>
      </c>
      <c r="D52" s="5" t="s">
        <v>80</v>
      </c>
      <c r="E52" s="5" t="s">
        <v>78</v>
      </c>
      <c r="F52" s="6" t="s">
        <v>100</v>
      </c>
      <c r="G52" s="5"/>
    </row>
    <row r="53" spans="2:7" ht="51">
      <c r="B53" s="4">
        <v>43</v>
      </c>
      <c r="C53" s="5" t="s">
        <v>158</v>
      </c>
      <c r="D53" s="5" t="s">
        <v>167</v>
      </c>
      <c r="E53" s="5" t="s">
        <v>168</v>
      </c>
      <c r="F53" s="6" t="s">
        <v>100</v>
      </c>
      <c r="G53" s="5"/>
    </row>
    <row r="54" spans="2:7" ht="51">
      <c r="B54" s="4">
        <v>44</v>
      </c>
      <c r="C54" s="5" t="s">
        <v>159</v>
      </c>
      <c r="D54" s="5" t="s">
        <v>169</v>
      </c>
      <c r="E54" s="5" t="s">
        <v>170</v>
      </c>
      <c r="F54" s="6" t="s">
        <v>100</v>
      </c>
      <c r="G54" s="5"/>
    </row>
    <row r="55" spans="2:7" ht="114.75">
      <c r="B55" s="4">
        <v>45</v>
      </c>
      <c r="C55" s="33" t="s">
        <v>30</v>
      </c>
      <c r="D55" s="33" t="s">
        <v>99</v>
      </c>
      <c r="E55" s="33" t="s">
        <v>81</v>
      </c>
      <c r="F55" s="6" t="s">
        <v>100</v>
      </c>
      <c r="G55" s="33"/>
    </row>
    <row r="56" spans="2:7" ht="38.25">
      <c r="B56" s="4">
        <v>46</v>
      </c>
      <c r="C56" s="33" t="s">
        <v>86</v>
      </c>
      <c r="D56" s="33" t="s">
        <v>31</v>
      </c>
      <c r="E56" s="33" t="s">
        <v>32</v>
      </c>
      <c r="F56" s="6" t="s">
        <v>101</v>
      </c>
      <c r="G56" s="33" t="s">
        <v>175</v>
      </c>
    </row>
    <row r="57" spans="2:7" ht="30.75" customHeight="1">
      <c r="B57" s="4">
        <v>47</v>
      </c>
      <c r="C57" s="33" t="s">
        <v>82</v>
      </c>
      <c r="D57" s="33" t="s">
        <v>83</v>
      </c>
      <c r="E57" s="33" t="s">
        <v>9</v>
      </c>
      <c r="F57" s="6" t="s">
        <v>100</v>
      </c>
      <c r="G57" s="33"/>
    </row>
    <row r="58" spans="2:7" ht="25.5">
      <c r="B58" s="4">
        <v>48</v>
      </c>
      <c r="C58" s="33" t="s">
        <v>87</v>
      </c>
      <c r="D58" s="33" t="s">
        <v>84</v>
      </c>
      <c r="E58" s="33" t="s">
        <v>85</v>
      </c>
      <c r="F58" s="6" t="s">
        <v>101</v>
      </c>
      <c r="G58" s="33" t="s">
        <v>175</v>
      </c>
    </row>
    <row r="59" spans="2:7" ht="38.25">
      <c r="B59" s="4">
        <v>49</v>
      </c>
      <c r="C59" s="33" t="s">
        <v>88</v>
      </c>
      <c r="D59" s="33" t="s">
        <v>98</v>
      </c>
      <c r="E59" s="33" t="s">
        <v>89</v>
      </c>
      <c r="F59" s="6" t="s">
        <v>100</v>
      </c>
      <c r="G59" s="33"/>
    </row>
    <row r="60" spans="2:7" ht="63.75">
      <c r="B60" s="4">
        <v>50</v>
      </c>
      <c r="C60" s="33" t="s">
        <v>107</v>
      </c>
      <c r="D60" s="33" t="s">
        <v>111</v>
      </c>
      <c r="E60" s="33" t="s">
        <v>112</v>
      </c>
      <c r="F60" s="6" t="s">
        <v>100</v>
      </c>
      <c r="G60" s="33"/>
    </row>
    <row r="61" spans="2:7">
      <c r="B61" s="4">
        <v>51</v>
      </c>
      <c r="C61" s="5" t="s">
        <v>172</v>
      </c>
      <c r="D61" s="5" t="s">
        <v>173</v>
      </c>
      <c r="E61" s="5"/>
      <c r="F61" s="6" t="s">
        <v>102</v>
      </c>
      <c r="G61" s="5"/>
    </row>
    <row r="62" spans="2:7">
      <c r="B62" s="4">
        <v>52</v>
      </c>
      <c r="C62" s="5"/>
      <c r="D62" s="5"/>
      <c r="E62" s="5"/>
      <c r="F62" s="6"/>
      <c r="G62" s="5"/>
    </row>
  </sheetData>
  <mergeCells count="9">
    <mergeCell ref="I12:I15"/>
    <mergeCell ref="J12:J15"/>
    <mergeCell ref="D8:E8"/>
    <mergeCell ref="C2:E2"/>
    <mergeCell ref="D3:E3"/>
    <mergeCell ref="D4:E4"/>
    <mergeCell ref="D7:E7"/>
    <mergeCell ref="D5:E5"/>
    <mergeCell ref="D6:E6"/>
  </mergeCells>
  <conditionalFormatting sqref="F12:F62">
    <cfRule type="cellIs" dxfId="3" priority="1" operator="equal">
      <formula>$J$6</formula>
    </cfRule>
    <cfRule type="cellIs" dxfId="2" priority="2" operator="equal">
      <formula>$J$5</formula>
    </cfRule>
    <cfRule type="cellIs" dxfId="1" priority="3" operator="equal">
      <formula>$J$4</formula>
    </cfRule>
    <cfRule type="cellIs" dxfId="0" priority="4" operator="equal">
      <formula>$J$3</formula>
    </cfRule>
  </conditionalFormatting>
  <dataValidations count="1">
    <dataValidation type="list" allowBlank="1" showInputMessage="1" showErrorMessage="1" sqref="F12:F62" xr:uid="{00000000-0002-0000-0100-000000000000}">
      <formula1>"Pass,Fail,NA,Pend"</formula1>
    </dataValidation>
  </dataValidations>
  <hyperlinks>
    <hyperlink ref="G56" r:id="rId1" display="http://jira-ex.transsion.com:6001/browse/CL7SP765A-200" xr:uid="{86E791DD-8E31-4FA3-B3BA-85DBA169EA21}"/>
    <hyperlink ref="G58" r:id="rId2" display="http://jira-ex.transsion.com:6001/browse/CL7SP765A-200" xr:uid="{57B90E64-A000-4E2A-86EA-3FC65F7FE283}"/>
  </hyperlinks>
  <pageMargins left="0.7" right="0.7" top="0.75" bottom="0.75" header="0.3" footer="0.3"/>
  <pageSetup orientation="portrait" r:id="rId3"/>
  <ignoredErrors>
    <ignoredError sqref="H4"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History </vt:lpstr>
      <vt:lpstr>FOTA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gutierrez aguilar</dc:creator>
  <cp:lastModifiedBy>Omar Sánchez Arámbula</cp:lastModifiedBy>
  <dcterms:created xsi:type="dcterms:W3CDTF">2018-05-03T21:54:40Z</dcterms:created>
  <dcterms:modified xsi:type="dcterms:W3CDTF">2026-01-30T02:28:39Z</dcterms:modified>
</cp:coreProperties>
</file>